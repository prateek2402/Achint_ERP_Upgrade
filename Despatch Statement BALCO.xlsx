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Rajesh\d\D Rajesh\d\d rive\Rajesh vaishnav\01.04.09 to 31.03.2010\BALCO\BALCO - 2026\P.O.No. 3400063581\"/>
    </mc:Choice>
  </mc:AlternateContent>
  <xr:revisionPtr revIDLastSave="0" documentId="13_ncr:1_{471ED196-8DEA-4634-BC6A-709AB3817B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Sheet1!$A$2:$U$27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6" i="1" l="1"/>
  <c r="U27" i="1" s="1"/>
  <c r="T26" i="1"/>
  <c r="T27" i="1" s="1"/>
  <c r="O26" i="1"/>
  <c r="O27" i="1" s="1"/>
  <c r="P26" i="1"/>
  <c r="P27" i="1" s="1"/>
  <c r="N26" i="1"/>
  <c r="N27" i="1" s="1"/>
  <c r="M26" i="1"/>
  <c r="M27" i="1" s="1"/>
  <c r="J26" i="1"/>
  <c r="J27" i="1" s="1"/>
  <c r="V26" i="1"/>
  <c r="V27" i="1" s="1"/>
  <c r="W12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G9" i="1"/>
  <c r="S26" i="1"/>
  <c r="S27" i="1" s="1"/>
  <c r="R26" i="1"/>
  <c r="R27" i="1" s="1"/>
  <c r="Q26" i="1"/>
  <c r="Q27" i="1" s="1"/>
  <c r="H26" i="1"/>
  <c r="H27" i="1" s="1"/>
  <c r="G26" i="1"/>
  <c r="G27" i="1" s="1"/>
  <c r="L26" i="1"/>
  <c r="L27" i="1" s="1"/>
  <c r="K26" i="1"/>
  <c r="K27" i="1" s="1"/>
  <c r="I26" i="1"/>
  <c r="I27" i="1" s="1"/>
  <c r="W9" i="1" l="1"/>
</calcChain>
</file>

<file path=xl/sharedStrings.xml><?xml version="1.0" encoding="utf-8"?>
<sst xmlns="http://schemas.openxmlformats.org/spreadsheetml/2006/main" count="94" uniqueCount="83">
  <si>
    <t>S. No.</t>
  </si>
  <si>
    <t>Bill No.</t>
  </si>
  <si>
    <t>Dated</t>
  </si>
  <si>
    <t>L.R.No.</t>
  </si>
  <si>
    <t>Truck No.</t>
  </si>
  <si>
    <t>Bill Value</t>
  </si>
  <si>
    <t>BRICK</t>
  </si>
  <si>
    <t>SIZES</t>
  </si>
  <si>
    <t>230x114x65</t>
  </si>
  <si>
    <t>Ordered Qty. (Nos.)</t>
  </si>
  <si>
    <t>Material Code No.</t>
  </si>
  <si>
    <t>Prices</t>
  </si>
  <si>
    <t>Order Sr. No.</t>
  </si>
  <si>
    <t>Ordered Materials</t>
  </si>
  <si>
    <t>Total Value</t>
  </si>
  <si>
    <t>BHARAT ALUMINIUM CO. LTD., KORBA</t>
  </si>
  <si>
    <t xml:space="preserve">            TOTAL BALANCE QUANTITY (Nos.)</t>
  </si>
  <si>
    <t xml:space="preserve">   TOTAL DESPATCHED QUANTITY (Nos.)</t>
  </si>
  <si>
    <t>P.O. No. 3400063581 Dated 11.02.2026</t>
  </si>
  <si>
    <t>INSULATION BRICKS (3-3)</t>
  </si>
  <si>
    <t>C-1</t>
  </si>
  <si>
    <t>C-2</t>
  </si>
  <si>
    <t>C-3</t>
  </si>
  <si>
    <t>TZ-3</t>
  </si>
  <si>
    <t>MCF313711070071</t>
  </si>
  <si>
    <t>MCF313711070073</t>
  </si>
  <si>
    <t>MCF313711070072</t>
  </si>
  <si>
    <t>MCF313711070006</t>
  </si>
  <si>
    <t>INSULATION BRICKS (3-4)</t>
  </si>
  <si>
    <t>C-4</t>
  </si>
  <si>
    <t>C-5</t>
  </si>
  <si>
    <t>MCF313711070011</t>
  </si>
  <si>
    <t>MCF313711000847</t>
  </si>
  <si>
    <t>MCF313711000848</t>
  </si>
  <si>
    <t>INS. BRICKS (3-5)</t>
  </si>
  <si>
    <t>MCF313711000816</t>
  </si>
  <si>
    <t>INS. BRICKS (4-1)</t>
  </si>
  <si>
    <t>MCF313711000815</t>
  </si>
  <si>
    <t>INS. BRICKS (4-2)</t>
  </si>
  <si>
    <t>MCF313711080004</t>
  </si>
  <si>
    <t>.6-3</t>
  </si>
  <si>
    <t>.6-4</t>
  </si>
  <si>
    <t>.7-4</t>
  </si>
  <si>
    <t>MCF313712020001</t>
  </si>
  <si>
    <t>MCF313712000194</t>
  </si>
  <si>
    <t>MCF313712020041</t>
  </si>
  <si>
    <t>INSULATION MORTAR</t>
  </si>
  <si>
    <t>INSULATION CASTABLES</t>
  </si>
  <si>
    <t>.8-5</t>
  </si>
  <si>
    <t>.8-6</t>
  </si>
  <si>
    <t>.8-7</t>
  </si>
  <si>
    <t>MCV301115040001</t>
  </si>
  <si>
    <t>MCV301115040002</t>
  </si>
  <si>
    <t>MCV301115040009</t>
  </si>
  <si>
    <t>BRICKS</t>
  </si>
  <si>
    <t>CASTABLE</t>
  </si>
  <si>
    <t>MORTAR</t>
  </si>
  <si>
    <t>Inspection cleared qty. dt. 19.02.26</t>
  </si>
  <si>
    <t>20.02.26</t>
  </si>
  <si>
    <t>RJ-48/GA-1844</t>
  </si>
  <si>
    <t>21.02.26</t>
  </si>
  <si>
    <t>RJ-48/GA-9315</t>
  </si>
  <si>
    <t>23.02.26</t>
  </si>
  <si>
    <t>CG-04/QE-5901</t>
  </si>
  <si>
    <t>27.02.26</t>
  </si>
  <si>
    <t>RJ-48/GA-9011</t>
  </si>
  <si>
    <t>09.03.26</t>
  </si>
  <si>
    <t>RJ-01/GD-5037</t>
  </si>
  <si>
    <t>RJ-47/GA-1225</t>
  </si>
  <si>
    <t>14.03.26</t>
  </si>
  <si>
    <t>23.03.26</t>
  </si>
  <si>
    <t>GJ-12/BY-0898</t>
  </si>
  <si>
    <t>26.03.26</t>
  </si>
  <si>
    <t>RJ-09/GF-0955</t>
  </si>
  <si>
    <t>31.03.26</t>
  </si>
  <si>
    <t>RJ-48/GA-9515</t>
  </si>
  <si>
    <t>08.04.26</t>
  </si>
  <si>
    <t>RJ-14/GN-1590</t>
  </si>
  <si>
    <t>09.04.26</t>
  </si>
  <si>
    <t>RJ-47/GA-2703</t>
  </si>
  <si>
    <t>13.04.26</t>
  </si>
  <si>
    <t>RJ-47/GA-4683</t>
  </si>
  <si>
    <t>17.04.25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</si>
</sst>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9"/>
      <color rgb="FFFF0000"/>
      <name val="Arial Black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9"/>
      <color rgb="FFFF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5" xfId="0" applyBorder="1" applyAlignment="1">
      <alignment horizontal="center"/>
    </xf>
    <xf numFmtId="2" fontId="0" fillId="0" borderId="9" xfId="0" applyNumberFormat="1" applyBorder="1" applyAlignment="1">
      <alignment horizontal="right"/>
    </xf>
    <xf numFmtId="2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2" borderId="1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2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16" fontId="4" fillId="3" borderId="1" xfId="0" applyNumberFormat="1" applyFont="1" applyFill="1" applyBorder="1" applyAlignment="1">
      <alignment horizontal="center"/>
    </xf>
    <xf numFmtId="0" fontId="6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11" xfId="0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0" fillId="0" borderId="7" xfId="0" applyBorder="1" applyAlignment="1">
      <alignment horizontal="right" vertical="center" wrapText="1"/>
    </xf>
    <xf numFmtId="0" fontId="2" fillId="0" borderId="13" xfId="0" applyFont="1" applyBorder="1" applyAlignment="1">
      <alignment horizontal="center"/>
    </xf>
    <xf numFmtId="2" fontId="1" fillId="2" borderId="13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0" fillId="0" borderId="0" xfId="0" applyBorder="1"/>
    <xf numFmtId="0" fontId="7" fillId="3" borderId="17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0" fillId="0" borderId="0" xfId="0" applyBorder="1" applyAlignment="1">
      <alignment horizontal="right" vertical="center" wrapText="1"/>
    </xf>
    <xf numFmtId="0" fontId="6" fillId="3" borderId="17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2" fontId="3" fillId="3" borderId="17" xfId="0" applyNumberFormat="1" applyFont="1" applyFill="1" applyBorder="1" applyAlignment="1">
      <alignment horizontal="center"/>
    </xf>
    <xf numFmtId="0" fontId="3" fillId="3" borderId="17" xfId="0" applyFont="1" applyFill="1" applyBorder="1"/>
    <xf numFmtId="0" fontId="3" fillId="3" borderId="5" xfId="0" applyFont="1" applyFill="1" applyBorder="1" applyAlignment="1">
      <alignment horizontal="center"/>
    </xf>
    <xf numFmtId="1" fontId="3" fillId="3" borderId="1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abSelected="1" workbookViewId="0">
      <selection activeCell="A2" sqref="A2:V27"/>
    </sheetView>
  </sheetViews>
  <sheetFormatPr defaultRowHeight="15" x14ac:dyDescent="0.25"/>
  <cols>
    <col min="1" max="2" width="7.28515625" customWidth="1"/>
    <col min="4" max="4" width="7.42578125" customWidth="1"/>
    <col min="5" max="5" width="13.42578125" customWidth="1"/>
    <col min="6" max="6" width="12.140625" customWidth="1"/>
    <col min="7" max="7" width="14" customWidth="1"/>
    <col min="8" max="10" width="14.140625" customWidth="1"/>
    <col min="11" max="13" width="14" customWidth="1"/>
    <col min="14" max="14" width="17.85546875" customWidth="1"/>
    <col min="15" max="15" width="18.28515625" customWidth="1"/>
    <col min="16" max="16" width="18" customWidth="1"/>
    <col min="17" max="18" width="16.5703125" customWidth="1"/>
    <col min="19" max="19" width="16.28515625" customWidth="1"/>
    <col min="20" max="21" width="16.140625" customWidth="1"/>
    <col min="22" max="22" width="17.7109375" customWidth="1"/>
    <col min="23" max="23" width="11.5703125" customWidth="1"/>
    <col min="24" max="24" width="10.140625" customWidth="1"/>
  </cols>
  <sheetData>
    <row r="1" spans="1:25" ht="15.75" thickBot="1" x14ac:dyDescent="0.3"/>
    <row r="2" spans="1:25" ht="15" customHeight="1" x14ac:dyDescent="0.25">
      <c r="A2" s="5" t="s">
        <v>15</v>
      </c>
      <c r="B2" s="6"/>
      <c r="C2" s="6"/>
      <c r="D2" s="6"/>
      <c r="E2" s="31" t="s">
        <v>13</v>
      </c>
      <c r="F2" s="31"/>
      <c r="G2" s="35" t="s">
        <v>19</v>
      </c>
      <c r="H2" s="36"/>
      <c r="I2" s="36"/>
      <c r="J2" s="36"/>
      <c r="K2" s="35" t="s">
        <v>28</v>
      </c>
      <c r="L2" s="36"/>
      <c r="M2" s="36"/>
      <c r="N2" s="37" t="s">
        <v>34</v>
      </c>
      <c r="O2" s="37" t="s">
        <v>36</v>
      </c>
      <c r="P2" s="37" t="s">
        <v>38</v>
      </c>
      <c r="Q2" s="35" t="s">
        <v>47</v>
      </c>
      <c r="R2" s="36"/>
      <c r="S2" s="36"/>
      <c r="T2" s="35" t="s">
        <v>46</v>
      </c>
      <c r="U2" s="36"/>
      <c r="V2" s="38"/>
    </row>
    <row r="3" spans="1:25" ht="15.75" x14ac:dyDescent="0.3">
      <c r="A3" s="7" t="s">
        <v>18</v>
      </c>
      <c r="B3" s="39"/>
      <c r="C3" s="39"/>
      <c r="D3" s="39"/>
      <c r="E3" s="39"/>
      <c r="F3" s="39" t="s">
        <v>6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29</v>
      </c>
      <c r="L3" s="17" t="s">
        <v>30</v>
      </c>
      <c r="M3" s="17" t="s">
        <v>23</v>
      </c>
      <c r="N3" s="17" t="s">
        <v>23</v>
      </c>
      <c r="O3" s="17" t="s">
        <v>23</v>
      </c>
      <c r="P3" s="17" t="s">
        <v>23</v>
      </c>
      <c r="Q3" s="24" t="s">
        <v>40</v>
      </c>
      <c r="R3" s="17" t="s">
        <v>41</v>
      </c>
      <c r="S3" s="17" t="s">
        <v>42</v>
      </c>
      <c r="T3" s="17" t="s">
        <v>48</v>
      </c>
      <c r="U3" s="17" t="s">
        <v>49</v>
      </c>
      <c r="V3" s="40" t="s">
        <v>50</v>
      </c>
    </row>
    <row r="4" spans="1:25" x14ac:dyDescent="0.25">
      <c r="A4" s="7"/>
      <c r="B4" s="39"/>
      <c r="C4" s="39"/>
      <c r="D4" s="39"/>
      <c r="E4" s="39"/>
      <c r="F4" s="39" t="s">
        <v>7</v>
      </c>
      <c r="G4" s="18"/>
      <c r="H4" s="18"/>
      <c r="I4" s="19"/>
      <c r="J4" s="19" t="s">
        <v>8</v>
      </c>
      <c r="K4" s="19"/>
      <c r="L4" s="19"/>
      <c r="M4" s="19" t="s">
        <v>8</v>
      </c>
      <c r="N4" s="19" t="s">
        <v>8</v>
      </c>
      <c r="O4" s="19" t="s">
        <v>8</v>
      </c>
      <c r="P4" s="19" t="s">
        <v>8</v>
      </c>
      <c r="Q4" s="18"/>
      <c r="R4" s="18"/>
      <c r="S4" s="18"/>
      <c r="T4" s="18"/>
      <c r="U4" s="18"/>
      <c r="V4" s="41"/>
    </row>
    <row r="5" spans="1:25" x14ac:dyDescent="0.25">
      <c r="A5" s="7"/>
      <c r="B5" s="39"/>
      <c r="C5" s="39"/>
      <c r="D5" s="42" t="s">
        <v>12</v>
      </c>
      <c r="E5" s="42"/>
      <c r="F5" s="42"/>
      <c r="G5" s="18">
        <v>80</v>
      </c>
      <c r="H5" s="18">
        <v>70</v>
      </c>
      <c r="I5" s="20">
        <v>60</v>
      </c>
      <c r="J5" s="20">
        <v>50</v>
      </c>
      <c r="K5" s="20">
        <v>40</v>
      </c>
      <c r="L5" s="20">
        <v>140</v>
      </c>
      <c r="M5" s="19">
        <v>30</v>
      </c>
      <c r="N5" s="18">
        <v>20</v>
      </c>
      <c r="O5" s="18">
        <v>130</v>
      </c>
      <c r="P5" s="18">
        <v>10</v>
      </c>
      <c r="Q5" s="18">
        <v>160</v>
      </c>
      <c r="R5" s="18">
        <v>150</v>
      </c>
      <c r="S5" s="18">
        <v>120</v>
      </c>
      <c r="T5" s="18">
        <v>110</v>
      </c>
      <c r="U5" s="18">
        <v>100</v>
      </c>
      <c r="V5" s="41">
        <v>90</v>
      </c>
    </row>
    <row r="6" spans="1:25" ht="12.75" customHeight="1" x14ac:dyDescent="0.25">
      <c r="A6" s="7"/>
      <c r="B6" s="39"/>
      <c r="C6" s="39"/>
      <c r="D6" s="42" t="s">
        <v>10</v>
      </c>
      <c r="E6" s="42"/>
      <c r="F6" s="42"/>
      <c r="G6" s="21" t="s">
        <v>24</v>
      </c>
      <c r="H6" s="21" t="s">
        <v>25</v>
      </c>
      <c r="I6" s="21" t="s">
        <v>26</v>
      </c>
      <c r="J6" s="21" t="s">
        <v>27</v>
      </c>
      <c r="K6" s="21" t="s">
        <v>32</v>
      </c>
      <c r="L6" s="21" t="s">
        <v>33</v>
      </c>
      <c r="M6" s="21" t="s">
        <v>31</v>
      </c>
      <c r="N6" s="28" t="s">
        <v>35</v>
      </c>
      <c r="O6" s="28" t="s">
        <v>37</v>
      </c>
      <c r="P6" s="28" t="s">
        <v>39</v>
      </c>
      <c r="Q6" s="25" t="s">
        <v>43</v>
      </c>
      <c r="R6" s="25" t="s">
        <v>44</v>
      </c>
      <c r="S6" s="25" t="s">
        <v>45</v>
      </c>
      <c r="T6" s="25" t="s">
        <v>51</v>
      </c>
      <c r="U6" s="25" t="s">
        <v>52</v>
      </c>
      <c r="V6" s="43" t="s">
        <v>53</v>
      </c>
      <c r="W6" s="32" t="s">
        <v>54</v>
      </c>
      <c r="X6" s="13" t="s">
        <v>55</v>
      </c>
      <c r="Y6" s="13" t="s">
        <v>56</v>
      </c>
    </row>
    <row r="7" spans="1:25" x14ac:dyDescent="0.25">
      <c r="A7" s="7"/>
      <c r="B7" s="39"/>
      <c r="C7" s="39"/>
      <c r="D7" s="39"/>
      <c r="E7" s="44" t="s">
        <v>9</v>
      </c>
      <c r="F7" s="39"/>
      <c r="G7" s="18">
        <v>283</v>
      </c>
      <c r="H7" s="18">
        <v>39</v>
      </c>
      <c r="I7" s="18">
        <v>38</v>
      </c>
      <c r="J7" s="18">
        <v>27478</v>
      </c>
      <c r="K7" s="18">
        <v>67</v>
      </c>
      <c r="L7" s="18">
        <v>66</v>
      </c>
      <c r="M7" s="18">
        <v>61682</v>
      </c>
      <c r="N7" s="18">
        <v>64080</v>
      </c>
      <c r="O7" s="18">
        <v>97530</v>
      </c>
      <c r="P7" s="18">
        <v>26526</v>
      </c>
      <c r="Q7" s="22">
        <v>4</v>
      </c>
      <c r="R7" s="22">
        <v>50</v>
      </c>
      <c r="S7" s="22">
        <v>7</v>
      </c>
      <c r="T7" s="22">
        <v>4</v>
      </c>
      <c r="U7" s="22">
        <v>3</v>
      </c>
      <c r="V7" s="45">
        <v>2</v>
      </c>
      <c r="W7" s="33">
        <v>277789</v>
      </c>
      <c r="X7" s="12">
        <v>61</v>
      </c>
      <c r="Y7" s="12">
        <v>9</v>
      </c>
    </row>
    <row r="8" spans="1:25" x14ac:dyDescent="0.25">
      <c r="A8" s="7"/>
      <c r="B8" s="39"/>
      <c r="C8" s="39"/>
      <c r="D8" s="39"/>
      <c r="E8" s="39"/>
      <c r="F8" s="39" t="s">
        <v>11</v>
      </c>
      <c r="G8" s="22">
        <v>418</v>
      </c>
      <c r="H8" s="22">
        <v>418</v>
      </c>
      <c r="I8" s="18">
        <v>418</v>
      </c>
      <c r="J8" s="22">
        <v>57</v>
      </c>
      <c r="K8" s="22">
        <v>29.4</v>
      </c>
      <c r="L8" s="22">
        <v>29.4</v>
      </c>
      <c r="M8" s="22">
        <v>37.49</v>
      </c>
      <c r="N8" s="22">
        <v>63</v>
      </c>
      <c r="O8" s="22">
        <v>49</v>
      </c>
      <c r="P8" s="22">
        <v>35</v>
      </c>
      <c r="Q8" s="22">
        <v>18700</v>
      </c>
      <c r="R8" s="22">
        <v>19500</v>
      </c>
      <c r="S8" s="22">
        <v>20400</v>
      </c>
      <c r="T8" s="22">
        <v>15500</v>
      </c>
      <c r="U8" s="22">
        <v>13500</v>
      </c>
      <c r="V8" s="45">
        <v>13500</v>
      </c>
    </row>
    <row r="9" spans="1:25" x14ac:dyDescent="0.25">
      <c r="A9" s="7"/>
      <c r="B9" s="39"/>
      <c r="C9" s="39"/>
      <c r="D9" s="39"/>
      <c r="E9" s="39"/>
      <c r="F9" s="39" t="s">
        <v>14</v>
      </c>
      <c r="G9" s="22">
        <f>G7*G8</f>
        <v>118294</v>
      </c>
      <c r="H9" s="22">
        <f t="shared" ref="H9:V9" si="0">H7*H8</f>
        <v>16302</v>
      </c>
      <c r="I9" s="22">
        <f t="shared" si="0"/>
        <v>15884</v>
      </c>
      <c r="J9" s="22">
        <f t="shared" si="0"/>
        <v>1566246</v>
      </c>
      <c r="K9" s="22">
        <f t="shared" si="0"/>
        <v>1969.8</v>
      </c>
      <c r="L9" s="22">
        <f t="shared" si="0"/>
        <v>1940.3999999999999</v>
      </c>
      <c r="M9" s="22">
        <f t="shared" si="0"/>
        <v>2312458.1800000002</v>
      </c>
      <c r="N9" s="22">
        <f t="shared" si="0"/>
        <v>4037040</v>
      </c>
      <c r="O9" s="22">
        <f t="shared" si="0"/>
        <v>4778970</v>
      </c>
      <c r="P9" s="22">
        <f t="shared" si="0"/>
        <v>928410</v>
      </c>
      <c r="Q9" s="22">
        <f t="shared" si="0"/>
        <v>74800</v>
      </c>
      <c r="R9" s="22">
        <f t="shared" si="0"/>
        <v>975000</v>
      </c>
      <c r="S9" s="22">
        <f t="shared" si="0"/>
        <v>142800</v>
      </c>
      <c r="T9" s="22">
        <f t="shared" si="0"/>
        <v>62000</v>
      </c>
      <c r="U9" s="22">
        <f t="shared" si="0"/>
        <v>40500</v>
      </c>
      <c r="V9" s="45">
        <f t="shared" si="0"/>
        <v>27000</v>
      </c>
      <c r="W9" s="33">
        <f>SUM(G9:V9)</f>
        <v>15099614.379999999</v>
      </c>
      <c r="X9" s="12"/>
    </row>
    <row r="10" spans="1:25" x14ac:dyDescent="0.25">
      <c r="A10" s="29" t="s">
        <v>57</v>
      </c>
      <c r="B10" s="30"/>
      <c r="C10" s="30"/>
      <c r="D10" s="30"/>
      <c r="E10" s="30"/>
      <c r="F10" s="30"/>
      <c r="G10" s="18">
        <v>283</v>
      </c>
      <c r="H10" s="18">
        <v>39</v>
      </c>
      <c r="I10" s="18">
        <v>38</v>
      </c>
      <c r="J10" s="18">
        <v>27478</v>
      </c>
      <c r="K10" s="18">
        <v>67</v>
      </c>
      <c r="L10" s="18">
        <v>66</v>
      </c>
      <c r="M10" s="18">
        <v>61682</v>
      </c>
      <c r="N10" s="18">
        <v>64080</v>
      </c>
      <c r="O10" s="18">
        <v>97530</v>
      </c>
      <c r="P10" s="18">
        <v>26526</v>
      </c>
      <c r="Q10" s="18">
        <v>0</v>
      </c>
      <c r="R10" s="18">
        <v>50</v>
      </c>
      <c r="S10" s="18">
        <v>0</v>
      </c>
      <c r="T10" s="18">
        <v>0</v>
      </c>
      <c r="U10" s="18">
        <v>0</v>
      </c>
      <c r="V10" s="41">
        <v>0</v>
      </c>
    </row>
    <row r="11" spans="1:25" x14ac:dyDescent="0.25">
      <c r="A11" s="2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8" t="s">
        <v>5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46"/>
    </row>
    <row r="12" spans="1:25" x14ac:dyDescent="0.25">
      <c r="A12" s="2">
        <v>1</v>
      </c>
      <c r="B12" s="1">
        <v>630</v>
      </c>
      <c r="C12" s="1" t="s">
        <v>58</v>
      </c>
      <c r="D12" s="1">
        <v>1949</v>
      </c>
      <c r="E12" s="1" t="s">
        <v>59</v>
      </c>
      <c r="F12" s="11">
        <v>1565303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10080</v>
      </c>
      <c r="O12" s="18">
        <v>14112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41">
        <v>0</v>
      </c>
      <c r="W12" s="34">
        <f>SUM(G12:V12)</f>
        <v>24192</v>
      </c>
    </row>
    <row r="13" spans="1:25" x14ac:dyDescent="0.25">
      <c r="A13" s="2">
        <v>2</v>
      </c>
      <c r="B13" s="1">
        <v>635</v>
      </c>
      <c r="C13" s="1" t="s">
        <v>60</v>
      </c>
      <c r="D13" s="1">
        <v>1914</v>
      </c>
      <c r="E13" s="1" t="s">
        <v>61</v>
      </c>
      <c r="F13" s="11">
        <v>1346913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13104</v>
      </c>
      <c r="O13" s="18">
        <v>0</v>
      </c>
      <c r="P13" s="18">
        <v>0</v>
      </c>
      <c r="Q13" s="18">
        <v>0</v>
      </c>
      <c r="R13" s="26">
        <v>16.2</v>
      </c>
      <c r="S13" s="18">
        <v>0</v>
      </c>
      <c r="T13" s="18">
        <v>0</v>
      </c>
      <c r="U13" s="18">
        <v>0</v>
      </c>
      <c r="V13" s="41">
        <v>0</v>
      </c>
      <c r="W13" s="34">
        <v>13104</v>
      </c>
      <c r="X13" s="14">
        <v>16.2</v>
      </c>
    </row>
    <row r="14" spans="1:25" x14ac:dyDescent="0.25">
      <c r="A14" s="2">
        <v>3</v>
      </c>
      <c r="B14" s="1">
        <v>637</v>
      </c>
      <c r="C14" s="1" t="s">
        <v>62</v>
      </c>
      <c r="D14" s="1">
        <v>1950</v>
      </c>
      <c r="E14" s="1" t="s">
        <v>63</v>
      </c>
      <c r="F14" s="11">
        <v>1205797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6048</v>
      </c>
      <c r="O14" s="18">
        <v>8064</v>
      </c>
      <c r="P14" s="18">
        <v>0</v>
      </c>
      <c r="Q14" s="18">
        <v>0</v>
      </c>
      <c r="R14" s="26">
        <v>12.6</v>
      </c>
      <c r="S14" s="18">
        <v>0</v>
      </c>
      <c r="T14" s="18">
        <v>0</v>
      </c>
      <c r="U14" s="18">
        <v>0</v>
      </c>
      <c r="V14" s="41">
        <v>0</v>
      </c>
      <c r="W14" s="15">
        <v>14112</v>
      </c>
      <c r="X14" s="16">
        <v>12.6</v>
      </c>
    </row>
    <row r="15" spans="1:25" x14ac:dyDescent="0.25">
      <c r="A15" s="2">
        <v>4</v>
      </c>
      <c r="B15" s="1">
        <v>650</v>
      </c>
      <c r="C15" s="1" t="s">
        <v>64</v>
      </c>
      <c r="D15" s="1">
        <v>1942</v>
      </c>
      <c r="E15" s="1" t="s">
        <v>65</v>
      </c>
      <c r="F15" s="11">
        <v>1163612</v>
      </c>
      <c r="G15" s="18">
        <v>0</v>
      </c>
      <c r="H15" s="18">
        <v>0</v>
      </c>
      <c r="I15" s="18">
        <v>0</v>
      </c>
      <c r="J15" s="18">
        <v>1728</v>
      </c>
      <c r="K15" s="18">
        <v>0</v>
      </c>
      <c r="L15" s="18">
        <v>0</v>
      </c>
      <c r="M15" s="18">
        <v>0</v>
      </c>
      <c r="N15" s="18">
        <v>4032</v>
      </c>
      <c r="O15" s="18">
        <v>0</v>
      </c>
      <c r="P15" s="18">
        <v>10080</v>
      </c>
      <c r="Q15" s="18">
        <v>0</v>
      </c>
      <c r="R15" s="26">
        <v>14.4</v>
      </c>
      <c r="S15" s="18">
        <v>0</v>
      </c>
      <c r="T15" s="18">
        <v>0</v>
      </c>
      <c r="U15" s="18">
        <v>0</v>
      </c>
      <c r="V15" s="41">
        <v>0</v>
      </c>
    </row>
    <row r="16" spans="1:25" x14ac:dyDescent="0.25">
      <c r="A16" s="2">
        <v>5</v>
      </c>
      <c r="B16" s="1">
        <v>674</v>
      </c>
      <c r="C16" s="1" t="s">
        <v>66</v>
      </c>
      <c r="D16" s="1">
        <v>1971</v>
      </c>
      <c r="E16" s="1" t="s">
        <v>67</v>
      </c>
      <c r="F16" s="11">
        <v>1227920</v>
      </c>
      <c r="G16" s="18">
        <v>283</v>
      </c>
      <c r="H16" s="18">
        <v>39</v>
      </c>
      <c r="I16" s="18">
        <v>38</v>
      </c>
      <c r="J16" s="18">
        <v>0</v>
      </c>
      <c r="K16" s="18">
        <v>67</v>
      </c>
      <c r="L16" s="18">
        <v>66</v>
      </c>
      <c r="M16" s="18">
        <v>0</v>
      </c>
      <c r="N16" s="18">
        <v>0</v>
      </c>
      <c r="O16" s="18">
        <v>10080</v>
      </c>
      <c r="P16" s="18">
        <v>0</v>
      </c>
      <c r="Q16" s="22">
        <v>4</v>
      </c>
      <c r="R16" s="26">
        <v>6.8</v>
      </c>
      <c r="S16" s="22">
        <v>7</v>
      </c>
      <c r="T16" s="26">
        <v>0.8</v>
      </c>
      <c r="U16" s="26">
        <v>2.2000000000000002</v>
      </c>
      <c r="V16" s="41">
        <v>0</v>
      </c>
    </row>
    <row r="17" spans="1:22" x14ac:dyDescent="0.25">
      <c r="A17" s="2">
        <v>6</v>
      </c>
      <c r="B17" s="1">
        <v>688</v>
      </c>
      <c r="C17" s="1" t="s">
        <v>69</v>
      </c>
      <c r="D17" s="1">
        <v>129</v>
      </c>
      <c r="E17" s="1" t="s">
        <v>68</v>
      </c>
      <c r="F17" s="11">
        <v>1135566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12096</v>
      </c>
      <c r="P17" s="18">
        <v>8064</v>
      </c>
      <c r="Q17" s="18">
        <v>0</v>
      </c>
      <c r="R17" s="18">
        <v>0</v>
      </c>
      <c r="S17" s="18">
        <v>0</v>
      </c>
      <c r="T17" s="26">
        <v>3.2</v>
      </c>
      <c r="U17" s="26">
        <v>0.8</v>
      </c>
      <c r="V17" s="45">
        <v>2</v>
      </c>
    </row>
    <row r="18" spans="1:22" x14ac:dyDescent="0.25">
      <c r="A18" s="2">
        <v>7</v>
      </c>
      <c r="B18" s="1">
        <v>709</v>
      </c>
      <c r="C18" s="1" t="s">
        <v>70</v>
      </c>
      <c r="D18" s="1">
        <v>2015</v>
      </c>
      <c r="E18" s="1" t="s">
        <v>71</v>
      </c>
      <c r="F18" s="11">
        <v>1304792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2016</v>
      </c>
      <c r="N18" s="18">
        <v>4032</v>
      </c>
      <c r="O18" s="18">
        <v>10080</v>
      </c>
      <c r="P18" s="18">
        <v>8064</v>
      </c>
      <c r="Q18" s="18">
        <v>0</v>
      </c>
      <c r="R18" s="18">
        <v>0</v>
      </c>
      <c r="S18" s="18">
        <v>0</v>
      </c>
      <c r="T18" s="26">
        <v>0</v>
      </c>
      <c r="U18" s="26">
        <v>0</v>
      </c>
      <c r="V18" s="45">
        <v>0</v>
      </c>
    </row>
    <row r="19" spans="1:22" x14ac:dyDescent="0.25">
      <c r="A19" s="2">
        <v>8</v>
      </c>
      <c r="B19" s="1">
        <v>723</v>
      </c>
      <c r="C19" s="1" t="s">
        <v>72</v>
      </c>
      <c r="D19" s="1">
        <v>1960</v>
      </c>
      <c r="E19" s="1" t="s">
        <v>73</v>
      </c>
      <c r="F19" s="11">
        <v>1287559</v>
      </c>
      <c r="G19" s="18">
        <v>0</v>
      </c>
      <c r="H19" s="18">
        <v>0</v>
      </c>
      <c r="I19" s="18">
        <v>0</v>
      </c>
      <c r="J19" s="18">
        <v>8640</v>
      </c>
      <c r="K19" s="18">
        <v>0</v>
      </c>
      <c r="L19" s="18">
        <v>0</v>
      </c>
      <c r="M19" s="18">
        <v>8064</v>
      </c>
      <c r="N19" s="18">
        <v>0</v>
      </c>
      <c r="O19" s="18">
        <v>6048</v>
      </c>
      <c r="P19" s="18">
        <v>0</v>
      </c>
      <c r="Q19" s="18">
        <v>0</v>
      </c>
      <c r="R19" s="18">
        <v>0</v>
      </c>
      <c r="S19" s="18">
        <v>0</v>
      </c>
      <c r="T19" s="26">
        <v>0</v>
      </c>
      <c r="U19" s="26">
        <v>0</v>
      </c>
      <c r="V19" s="45">
        <v>0</v>
      </c>
    </row>
    <row r="20" spans="1:22" x14ac:dyDescent="0.25">
      <c r="A20" s="2">
        <v>9</v>
      </c>
      <c r="B20" s="1">
        <v>734</v>
      </c>
      <c r="C20" s="1" t="s">
        <v>74</v>
      </c>
      <c r="D20" s="1">
        <v>2052</v>
      </c>
      <c r="E20" s="1" t="s">
        <v>61</v>
      </c>
      <c r="F20" s="11">
        <v>1465390</v>
      </c>
      <c r="G20" s="18">
        <v>0</v>
      </c>
      <c r="H20" s="18">
        <v>0</v>
      </c>
      <c r="I20" s="18">
        <v>0</v>
      </c>
      <c r="J20" s="27">
        <v>0</v>
      </c>
      <c r="K20" s="27">
        <v>0</v>
      </c>
      <c r="L20" s="27">
        <v>0</v>
      </c>
      <c r="M20" s="27">
        <v>0</v>
      </c>
      <c r="N20" s="18">
        <v>4032</v>
      </c>
      <c r="O20" s="18">
        <v>20160</v>
      </c>
      <c r="P20" s="18">
        <v>0</v>
      </c>
      <c r="Q20" s="18">
        <v>0</v>
      </c>
      <c r="R20" s="18">
        <v>0</v>
      </c>
      <c r="S20" s="18">
        <v>0</v>
      </c>
      <c r="T20" s="26">
        <v>0</v>
      </c>
      <c r="U20" s="26">
        <v>0</v>
      </c>
      <c r="V20" s="45">
        <v>0</v>
      </c>
    </row>
    <row r="21" spans="1:22" x14ac:dyDescent="0.25">
      <c r="A21" s="2">
        <v>10</v>
      </c>
      <c r="B21" s="1">
        <v>735</v>
      </c>
      <c r="C21" s="1" t="s">
        <v>74</v>
      </c>
      <c r="D21" s="1">
        <v>2053</v>
      </c>
      <c r="E21" s="1" t="s">
        <v>75</v>
      </c>
      <c r="F21" s="11">
        <v>1178375</v>
      </c>
      <c r="G21" s="18">
        <v>0</v>
      </c>
      <c r="H21" s="18">
        <v>0</v>
      </c>
      <c r="I21" s="18">
        <v>0</v>
      </c>
      <c r="J21" s="18">
        <v>6912</v>
      </c>
      <c r="K21" s="18">
        <v>0</v>
      </c>
      <c r="L21" s="18">
        <v>0</v>
      </c>
      <c r="M21" s="18">
        <v>16128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26">
        <v>0</v>
      </c>
      <c r="U21" s="26">
        <v>0</v>
      </c>
      <c r="V21" s="45">
        <v>0</v>
      </c>
    </row>
    <row r="22" spans="1:22" x14ac:dyDescent="0.25">
      <c r="A22" s="2">
        <v>11</v>
      </c>
      <c r="B22" s="1">
        <v>21</v>
      </c>
      <c r="C22" s="1" t="s">
        <v>76</v>
      </c>
      <c r="D22" s="1">
        <v>4</v>
      </c>
      <c r="E22" s="1" t="s">
        <v>77</v>
      </c>
      <c r="F22" s="11">
        <v>1069036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15696</v>
      </c>
      <c r="N22" s="18">
        <v>5040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26">
        <v>0</v>
      </c>
      <c r="U22" s="26">
        <v>0</v>
      </c>
      <c r="V22" s="45">
        <v>0</v>
      </c>
    </row>
    <row r="23" spans="1:22" x14ac:dyDescent="0.25">
      <c r="A23" s="2">
        <v>12</v>
      </c>
      <c r="B23" s="1">
        <v>23</v>
      </c>
      <c r="C23" s="1" t="s">
        <v>78</v>
      </c>
      <c r="D23" s="1">
        <v>5</v>
      </c>
      <c r="E23" s="1" t="s">
        <v>79</v>
      </c>
      <c r="F23" s="11">
        <v>1228141</v>
      </c>
      <c r="G23" s="18">
        <v>0</v>
      </c>
      <c r="H23" s="18">
        <v>0</v>
      </c>
      <c r="I23" s="18">
        <v>0</v>
      </c>
      <c r="J23" s="18">
        <v>3456</v>
      </c>
      <c r="K23" s="18">
        <v>0</v>
      </c>
      <c r="L23" s="18">
        <v>0</v>
      </c>
      <c r="M23" s="18">
        <v>432</v>
      </c>
      <c r="N23" s="18">
        <v>0</v>
      </c>
      <c r="O23" s="18">
        <v>16890</v>
      </c>
      <c r="P23" s="18">
        <v>0</v>
      </c>
      <c r="Q23" s="18">
        <v>0</v>
      </c>
      <c r="R23" s="18">
        <v>0</v>
      </c>
      <c r="S23" s="18">
        <v>0</v>
      </c>
      <c r="T23" s="26">
        <v>0</v>
      </c>
      <c r="U23" s="26">
        <v>0</v>
      </c>
      <c r="V23" s="45">
        <v>0</v>
      </c>
    </row>
    <row r="24" spans="1:22" x14ac:dyDescent="0.25">
      <c r="A24" s="2">
        <v>13</v>
      </c>
      <c r="B24" s="1">
        <v>39</v>
      </c>
      <c r="C24" s="1" t="s">
        <v>80</v>
      </c>
      <c r="D24" s="1">
        <v>6</v>
      </c>
      <c r="E24" s="1" t="s">
        <v>81</v>
      </c>
      <c r="F24" s="11">
        <v>1134583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12096</v>
      </c>
      <c r="N24" s="18">
        <v>8064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26">
        <v>0</v>
      </c>
      <c r="U24" s="26">
        <v>0</v>
      </c>
      <c r="V24" s="45">
        <v>0</v>
      </c>
    </row>
    <row r="25" spans="1:22" x14ac:dyDescent="0.25">
      <c r="A25" s="2">
        <v>14</v>
      </c>
      <c r="B25" s="1">
        <v>45</v>
      </c>
      <c r="C25" s="1" t="s">
        <v>82</v>
      </c>
      <c r="D25" s="1">
        <v>65</v>
      </c>
      <c r="E25" s="1" t="s">
        <v>61</v>
      </c>
      <c r="F25" s="11">
        <v>1504560</v>
      </c>
      <c r="G25" s="18">
        <v>0</v>
      </c>
      <c r="H25" s="18">
        <v>0</v>
      </c>
      <c r="I25" s="18">
        <v>0</v>
      </c>
      <c r="J25" s="18">
        <v>6742</v>
      </c>
      <c r="K25" s="18">
        <v>0</v>
      </c>
      <c r="L25" s="18">
        <v>0</v>
      </c>
      <c r="M25" s="18">
        <v>7250</v>
      </c>
      <c r="N25" s="18">
        <v>9648</v>
      </c>
      <c r="O25" s="18">
        <v>0</v>
      </c>
      <c r="P25" s="18">
        <v>318</v>
      </c>
      <c r="Q25" s="18">
        <v>0</v>
      </c>
      <c r="R25" s="18">
        <v>0</v>
      </c>
      <c r="S25" s="18">
        <v>0</v>
      </c>
      <c r="T25" s="26">
        <v>0</v>
      </c>
      <c r="U25" s="26">
        <v>0</v>
      </c>
      <c r="V25" s="45">
        <v>0</v>
      </c>
    </row>
    <row r="26" spans="1:22" x14ac:dyDescent="0.25">
      <c r="A26" s="2"/>
      <c r="B26" s="1"/>
      <c r="C26" s="1"/>
      <c r="D26" s="1"/>
      <c r="E26" s="1" t="s">
        <v>17</v>
      </c>
      <c r="F26" s="8"/>
      <c r="G26" s="18">
        <f>SUM(G12:G17)</f>
        <v>283</v>
      </c>
      <c r="H26" s="18">
        <f>SUM(H12:H17)</f>
        <v>39</v>
      </c>
      <c r="I26" s="18">
        <f>SUM(I12:I17)</f>
        <v>38</v>
      </c>
      <c r="J26" s="18">
        <f>SUM(J12:J25)</f>
        <v>27478</v>
      </c>
      <c r="K26" s="18">
        <f>SUM(K12:K17)</f>
        <v>67</v>
      </c>
      <c r="L26" s="18">
        <f>SUM(L12:L17)</f>
        <v>66</v>
      </c>
      <c r="M26" s="18">
        <f>SUM(M12:M25)</f>
        <v>61682</v>
      </c>
      <c r="N26" s="18">
        <f>SUM(N12:N25)</f>
        <v>64080</v>
      </c>
      <c r="O26" s="18">
        <f>SUM(O12:O25)</f>
        <v>97530</v>
      </c>
      <c r="P26" s="18">
        <f>SUM(P12:P25)</f>
        <v>26526</v>
      </c>
      <c r="Q26" s="22">
        <f>SUM(Q12:Q17)</f>
        <v>4</v>
      </c>
      <c r="R26" s="22">
        <f>SUM(R12:R17)</f>
        <v>49.999999999999993</v>
      </c>
      <c r="S26" s="22">
        <f>SUM(S12:S17)</f>
        <v>7</v>
      </c>
      <c r="T26" s="22">
        <f>SUM(T12:T25)</f>
        <v>4</v>
      </c>
      <c r="U26" s="22">
        <f>SUM(U12:U25)</f>
        <v>3</v>
      </c>
      <c r="V26" s="45">
        <f>SUM(V12:V25)</f>
        <v>2</v>
      </c>
    </row>
    <row r="27" spans="1:22" ht="15.75" thickBot="1" x14ac:dyDescent="0.3">
      <c r="A27" s="3"/>
      <c r="B27" s="4"/>
      <c r="C27" s="4"/>
      <c r="D27" s="4"/>
      <c r="E27" s="10" t="s">
        <v>16</v>
      </c>
      <c r="F27" s="9"/>
      <c r="G27" s="47">
        <f t="shared" ref="G27:V27" si="1">G7-G26</f>
        <v>0</v>
      </c>
      <c r="H27" s="47">
        <f t="shared" si="1"/>
        <v>0</v>
      </c>
      <c r="I27" s="47">
        <f t="shared" si="1"/>
        <v>0</v>
      </c>
      <c r="J27" s="47">
        <f t="shared" si="1"/>
        <v>0</v>
      </c>
      <c r="K27" s="47">
        <f t="shared" si="1"/>
        <v>0</v>
      </c>
      <c r="L27" s="47">
        <f t="shared" si="1"/>
        <v>0</v>
      </c>
      <c r="M27" s="47">
        <f t="shared" si="1"/>
        <v>0</v>
      </c>
      <c r="N27" s="47">
        <f t="shared" si="1"/>
        <v>0</v>
      </c>
      <c r="O27" s="47">
        <f t="shared" si="1"/>
        <v>0</v>
      </c>
      <c r="P27" s="47">
        <f t="shared" si="1"/>
        <v>0</v>
      </c>
      <c r="Q27" s="47">
        <f t="shared" si="1"/>
        <v>0</v>
      </c>
      <c r="R27" s="47">
        <f t="shared" si="1"/>
        <v>0</v>
      </c>
      <c r="S27" s="47">
        <f t="shared" si="1"/>
        <v>0</v>
      </c>
      <c r="T27" s="47">
        <f t="shared" si="1"/>
        <v>0</v>
      </c>
      <c r="U27" s="47">
        <f t="shared" si="1"/>
        <v>0</v>
      </c>
      <c r="V27" s="48">
        <f t="shared" si="1"/>
        <v>0</v>
      </c>
    </row>
  </sheetData>
  <mergeCells count="8">
    <mergeCell ref="K2:M2"/>
    <mergeCell ref="Q2:S2"/>
    <mergeCell ref="T2:V2"/>
    <mergeCell ref="A10:F10"/>
    <mergeCell ref="E2:F2"/>
    <mergeCell ref="D6:F6"/>
    <mergeCell ref="D5:F5"/>
    <mergeCell ref="G2:J2"/>
  </mergeCells>
  <pageMargins left="0.19685039370078741" right="0.11811023622047245" top="0.74803149606299213" bottom="0.7480314960629921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achint</dc:creator>
  <cp:lastModifiedBy>Achint Chemicals</cp:lastModifiedBy>
  <cp:lastPrinted>2026-04-17T12:43:58Z</cp:lastPrinted>
  <dcterms:created xsi:type="dcterms:W3CDTF">2015-06-05T18:17:20Z</dcterms:created>
  <dcterms:modified xsi:type="dcterms:W3CDTF">2026-04-17T12:44:21Z</dcterms:modified>
</cp:coreProperties>
</file>